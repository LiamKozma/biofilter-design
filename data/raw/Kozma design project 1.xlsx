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C:\Users\lmk04992\Desktop\"/>
    </mc:Choice>
  </mc:AlternateContent>
  <xr:revisionPtr revIDLastSave="0" documentId="8_{1A413414-8E31-435C-8FE1-64C93CAED7B4}" xr6:coauthVersionLast="47" xr6:coauthVersionMax="47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73" i="1" l="1"/>
  <c r="H74" i="1"/>
  <c r="H75" i="1"/>
  <c r="H76" i="1"/>
  <c r="H72" i="1"/>
  <c r="H69" i="1"/>
  <c r="H70" i="1"/>
  <c r="H71" i="1"/>
  <c r="H68" i="1"/>
  <c r="H64" i="1"/>
  <c r="H65" i="1"/>
  <c r="H66" i="1"/>
  <c r="H67" i="1"/>
  <c r="H63" i="1"/>
  <c r="B28" i="1"/>
  <c r="L5" i="1"/>
  <c r="F47" i="1"/>
  <c r="I53" i="1"/>
  <c r="L6" i="1"/>
  <c r="F48" i="1"/>
  <c r="I54" i="1"/>
  <c r="F46" i="1"/>
  <c r="I52" i="1"/>
  <c r="N20" i="1"/>
  <c r="H53" i="1"/>
  <c r="N21" i="1"/>
  <c r="H54" i="1"/>
  <c r="N19" i="1"/>
  <c r="H52" i="1"/>
  <c r="I50" i="1"/>
  <c r="I51" i="1"/>
  <c r="I49" i="1"/>
  <c r="N13" i="1"/>
  <c r="H50" i="1"/>
  <c r="N14" i="1"/>
  <c r="H51" i="1"/>
  <c r="N12" i="1"/>
  <c r="H49" i="1"/>
  <c r="I48" i="1"/>
  <c r="I47" i="1"/>
  <c r="N5" i="1"/>
  <c r="H47" i="1"/>
  <c r="N6" i="1"/>
  <c r="H48" i="1"/>
  <c r="L7" i="1"/>
  <c r="F49" i="1"/>
  <c r="L8" i="1"/>
  <c r="F50" i="1"/>
  <c r="W4" i="1"/>
  <c r="W5" i="1"/>
  <c r="W6" i="1"/>
  <c r="W7" i="1"/>
  <c r="W8" i="1"/>
  <c r="W9" i="1"/>
  <c r="W10" i="1"/>
  <c r="W11" i="1"/>
  <c r="W3" i="1"/>
  <c r="O13" i="1"/>
  <c r="O14" i="1"/>
  <c r="O15" i="1"/>
  <c r="O16" i="1"/>
  <c r="O12" i="1"/>
  <c r="AA12" i="1"/>
  <c r="AA13" i="1"/>
  <c r="AA14" i="1"/>
  <c r="AB14" i="1"/>
  <c r="P20" i="1"/>
  <c r="AA23" i="1"/>
  <c r="P19" i="1"/>
  <c r="P13" i="1"/>
  <c r="AA21" i="1"/>
  <c r="P12" i="1"/>
  <c r="AA8" i="1"/>
  <c r="AA9" i="1"/>
  <c r="AA10" i="1"/>
  <c r="AA7" i="1"/>
  <c r="X6" i="1"/>
  <c r="T4" i="1"/>
  <c r="U4" i="1"/>
  <c r="X7" i="1"/>
  <c r="X8" i="1"/>
  <c r="X5" i="1"/>
  <c r="Q5" i="1"/>
  <c r="Q6" i="1"/>
  <c r="Q7" i="1"/>
  <c r="Q8" i="1"/>
  <c r="Q4" i="1"/>
  <c r="P5" i="1"/>
  <c r="AA19" i="1"/>
  <c r="P6" i="1"/>
  <c r="P7" i="1"/>
  <c r="P8" i="1"/>
  <c r="P4" i="1"/>
  <c r="O5" i="1"/>
  <c r="AA4" i="1"/>
  <c r="O6" i="1"/>
  <c r="AA5" i="1"/>
  <c r="O7" i="1"/>
  <c r="AA6" i="1"/>
  <c r="O8" i="1"/>
  <c r="O4" i="1"/>
  <c r="AA3" i="1"/>
  <c r="X3" i="1"/>
  <c r="X4" i="1"/>
  <c r="N7" i="1"/>
  <c r="N8" i="1"/>
  <c r="N4" i="1"/>
  <c r="M5" i="1"/>
  <c r="M6" i="1"/>
  <c r="M7" i="1"/>
  <c r="M8" i="1"/>
  <c r="M4" i="1"/>
  <c r="O19" i="1"/>
  <c r="AA11" i="1"/>
  <c r="N22" i="1"/>
  <c r="N23" i="1"/>
  <c r="M20" i="1"/>
  <c r="M21" i="1"/>
  <c r="M22" i="1"/>
  <c r="M23" i="1"/>
  <c r="M19" i="1"/>
  <c r="Q13" i="1"/>
  <c r="Q14" i="1"/>
  <c r="Q15" i="1"/>
  <c r="Q16" i="1"/>
  <c r="Q12" i="1"/>
  <c r="P14" i="1"/>
  <c r="P15" i="1"/>
  <c r="P16" i="1"/>
  <c r="N15" i="1"/>
  <c r="N16" i="1"/>
  <c r="M13" i="1"/>
  <c r="M14" i="1"/>
  <c r="M15" i="1"/>
  <c r="M16" i="1"/>
  <c r="M12" i="1"/>
  <c r="T5" i="1"/>
  <c r="U13" i="1"/>
  <c r="T6" i="1"/>
  <c r="U14" i="1"/>
  <c r="AB6" i="1"/>
  <c r="U21" i="1"/>
  <c r="U6" i="1"/>
  <c r="U5" i="1"/>
  <c r="U20" i="1"/>
</calcChain>
</file>

<file path=xl/sharedStrings.xml><?xml version="1.0" encoding="utf-8"?>
<sst xmlns="http://schemas.openxmlformats.org/spreadsheetml/2006/main" count="141" uniqueCount="68">
  <si>
    <t>3MB</t>
  </si>
  <si>
    <t>2MB</t>
  </si>
  <si>
    <t>Concentration (ppm)</t>
  </si>
  <si>
    <t>Ca0/Ca</t>
  </si>
  <si>
    <t>t</t>
  </si>
  <si>
    <t>t/(ca0-ca)</t>
  </si>
  <si>
    <t>sec</t>
  </si>
  <si>
    <t>ln</t>
  </si>
  <si>
    <t>Position (m)</t>
  </si>
  <si>
    <t>CH3SH</t>
  </si>
  <si>
    <t>3-MB</t>
  </si>
  <si>
    <t>2-MB</t>
  </si>
  <si>
    <t>Hexanal</t>
  </si>
  <si>
    <t>DMDS</t>
  </si>
  <si>
    <t>Volume (m^3)</t>
  </si>
  <si>
    <t>Concentration, ppmv</t>
  </si>
  <si>
    <t>Inlet</t>
  </si>
  <si>
    <t>Sample</t>
  </si>
  <si>
    <t>Properties</t>
  </si>
  <si>
    <t>BIOSORBENS Media</t>
  </si>
  <si>
    <t>Compost</t>
  </si>
  <si>
    <t>Port 1</t>
  </si>
  <si>
    <t>Compound Identified</t>
  </si>
  <si>
    <t>Bulk density, dry basis</t>
  </si>
  <si>
    <t>1447 Kg/m^3</t>
  </si>
  <si>
    <t>730 kg/m^3</t>
  </si>
  <si>
    <t>Port 2</t>
  </si>
  <si>
    <t>Methanethiol</t>
  </si>
  <si>
    <t>Water-holding capacity</t>
  </si>
  <si>
    <t>25% (dry basis)</t>
  </si>
  <si>
    <t>50-60% (dry basis)</t>
  </si>
  <si>
    <t>Port 3</t>
  </si>
  <si>
    <t>Propanol</t>
  </si>
  <si>
    <t>Particle size</t>
  </si>
  <si>
    <t>5-25 mm</t>
  </si>
  <si>
    <t>2-10 mm</t>
  </si>
  <si>
    <t>Outlet</t>
  </si>
  <si>
    <t>2-Methylpropanol (Isobutanol)</t>
  </si>
  <si>
    <t>Surface area</t>
  </si>
  <si>
    <t>47.6 m^2/g</t>
  </si>
  <si>
    <t>3.6 m^2/g</t>
  </si>
  <si>
    <t>Q (m^3/min)</t>
  </si>
  <si>
    <t>3-Methylbutanol</t>
  </si>
  <si>
    <t>Life expectancy</t>
  </si>
  <si>
    <t>Permanent</t>
  </si>
  <si>
    <t>5 yr</t>
  </si>
  <si>
    <t>2-Methylbutanol</t>
  </si>
  <si>
    <t>Physical properties</t>
  </si>
  <si>
    <t>Octane</t>
  </si>
  <si>
    <t>2-Heptanone</t>
  </si>
  <si>
    <t>P</t>
  </si>
  <si>
    <t>ND</t>
  </si>
  <si>
    <t>Heptanal</t>
  </si>
  <si>
    <t>Dimethyl disulfide</t>
  </si>
  <si>
    <t>Benzene</t>
  </si>
  <si>
    <t xml:space="preserve"> </t>
  </si>
  <si>
    <t>Toluene</t>
  </si>
  <si>
    <t>Total</t>
  </si>
  <si>
    <t>P, present not quantified</t>
  </si>
  <si>
    <t>ND, not deteced</t>
  </si>
  <si>
    <t>Typical emissions from a plant</t>
  </si>
  <si>
    <t>Q=4 L/min</t>
  </si>
  <si>
    <t>aldyhides</t>
  </si>
  <si>
    <t>D= .1m</t>
  </si>
  <si>
    <t>Ca</t>
  </si>
  <si>
    <t>ln(ca0/ca)/(ca0-ca)</t>
  </si>
  <si>
    <t>t/(ca-ca0)</t>
  </si>
  <si>
    <t>1/Ca-1/Ca0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</si>
</sst>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2" fillId="0" borderId="8" xfId="0" applyFont="1" applyBorder="1"/>
    <xf numFmtId="0" fontId="1" fillId="0" borderId="9" xfId="0" applyFont="1" applyBorder="1"/>
    <xf numFmtId="0" fontId="2" fillId="0" borderId="10" xfId="0" applyFont="1" applyBorder="1"/>
    <xf numFmtId="0" fontId="1" fillId="0" borderId="11" xfId="0" applyFont="1" applyBorder="1"/>
    <xf numFmtId="0" fontId="2" fillId="0" borderId="12" xfId="0" applyFont="1" applyBorder="1"/>
    <xf numFmtId="0" fontId="1" fillId="0" borderId="13" xfId="0" applyFont="1" applyBorder="1"/>
    <xf numFmtId="14" fontId="2" fillId="2" borderId="2" xfId="0" applyNumberFormat="1" applyFont="1" applyFill="1" applyBorder="1"/>
    <xf numFmtId="0" fontId="2" fillId="3" borderId="15" xfId="0" applyFont="1" applyFill="1" applyBorder="1"/>
    <xf numFmtId="0" fontId="2" fillId="3" borderId="16" xfId="0" applyFont="1" applyFill="1" applyBorder="1"/>
    <xf numFmtId="0" fontId="2" fillId="3" borderId="14" xfId="0" applyFont="1" applyFill="1" applyBorder="1"/>
    <xf numFmtId="0" fontId="1" fillId="0" borderId="6" xfId="0" applyFont="1" applyBorder="1"/>
    <xf numFmtId="0" fontId="1" fillId="0" borderId="17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18" xfId="0" applyFont="1" applyBorder="1"/>
    <xf numFmtId="0" fontId="2" fillId="2" borderId="5" xfId="0" applyFont="1" applyFill="1" applyBorder="1"/>
    <xf numFmtId="0" fontId="1" fillId="3" borderId="0" xfId="0" applyFont="1" applyFill="1"/>
    <xf numFmtId="0" fontId="1" fillId="4" borderId="28" xfId="0" applyFont="1" applyFill="1" applyBorder="1"/>
    <xf numFmtId="0" fontId="1" fillId="4" borderId="25" xfId="0" applyFont="1" applyFill="1" applyBorder="1" applyAlignment="1">
      <alignment horizontal="right"/>
    </xf>
    <xf numFmtId="0" fontId="1" fillId="0" borderId="25" xfId="0" applyFont="1" applyBorder="1" applyAlignment="1">
      <alignment horizontal="right"/>
    </xf>
    <xf numFmtId="0" fontId="1" fillId="0" borderId="27" xfId="0" applyFont="1" applyBorder="1"/>
    <xf numFmtId="0" fontId="1" fillId="0" borderId="24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28" xfId="0" applyFont="1" applyBorder="1"/>
    <xf numFmtId="0" fontId="1" fillId="0" borderId="9" xfId="0" applyFont="1" applyBorder="1" applyAlignment="1">
      <alignment horizontal="right"/>
    </xf>
    <xf numFmtId="0" fontId="1" fillId="0" borderId="29" xfId="0" applyFont="1" applyBorder="1"/>
    <xf numFmtId="0" fontId="1" fillId="0" borderId="26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2" fillId="2" borderId="2" xfId="0" applyFont="1" applyFill="1" applyBorder="1"/>
    <xf numFmtId="0" fontId="2" fillId="2" borderId="21" xfId="0" applyFont="1" applyFill="1" applyBorder="1"/>
    <xf numFmtId="0" fontId="2" fillId="2" borderId="22" xfId="0" applyFont="1" applyFill="1" applyBorder="1"/>
    <xf numFmtId="0" fontId="2" fillId="3" borderId="30" xfId="0" applyFont="1" applyFill="1" applyBorder="1"/>
    <xf numFmtId="0" fontId="2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31" xfId="0" applyFont="1" applyFill="1" applyBorder="1"/>
    <xf numFmtId="0" fontId="1" fillId="3" borderId="23" xfId="0" applyFont="1" applyFill="1" applyBorder="1"/>
    <xf numFmtId="0" fontId="2" fillId="3" borderId="2" xfId="0" applyFont="1" applyFill="1" applyBorder="1"/>
    <xf numFmtId="0" fontId="1" fillId="0" borderId="32" xfId="0" applyFont="1" applyBorder="1"/>
    <xf numFmtId="0" fontId="2" fillId="0" borderId="0" xfId="0" applyFont="1"/>
    <xf numFmtId="0" fontId="2" fillId="0" borderId="32" xfId="0" applyFont="1" applyBorder="1"/>
    <xf numFmtId="0" fontId="2" fillId="0" borderId="17" xfId="0" applyFont="1" applyBorder="1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3-MB First-Order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3-MB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91891951006124"/>
                  <c:y val="-8.09412365121026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Sheet1!$Y$3:$Y$11</c:f>
              <c:numCache>
                <c:formatCode>General</c:formatCode>
                <c:ptCount val="9"/>
                <c:pt idx="0">
                  <c:v>0.29452431127404299</c:v>
                </c:pt>
                <c:pt idx="1">
                  <c:v>0.49087385212340523</c:v>
                </c:pt>
                <c:pt idx="2">
                  <c:v>0.2945243112740431</c:v>
                </c:pt>
                <c:pt idx="3">
                  <c:v>0.49087385212340523</c:v>
                </c:pt>
                <c:pt idx="4">
                  <c:v>0.2945243112740431</c:v>
                </c:pt>
                <c:pt idx="5">
                  <c:v>0.49087385212340523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xVal>
          <c:yVal>
            <c:numRef>
              <c:f>Sheet1!$X$3:$X$11</c:f>
              <c:numCache>
                <c:formatCode>General</c:formatCode>
                <c:ptCount val="9"/>
                <c:pt idx="0">
                  <c:v>1.0022477158442857</c:v>
                </c:pt>
                <c:pt idx="1">
                  <c:v>2.3265842024200967</c:v>
                </c:pt>
                <c:pt idx="2">
                  <c:v>0.94756606714131719</c:v>
                </c:pt>
                <c:pt idx="3">
                  <c:v>2.2974927840903332</c:v>
                </c:pt>
                <c:pt idx="4">
                  <c:v>1.1053012768189063</c:v>
                </c:pt>
                <c:pt idx="5">
                  <c:v>3.8579557841578702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6E-4DCD-99A0-467C8B865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363279"/>
        <c:axId val="397357871"/>
      </c:scatterChart>
      <c:valAx>
        <c:axId val="39736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57871"/>
        <c:crosses val="autoZero"/>
        <c:crossBetween val="midCat"/>
      </c:valAx>
      <c:valAx>
        <c:axId val="39735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6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2-MB First-Order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2-MB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Sheet1!$AB$3:$AB$13</c:f>
              <c:numCache>
                <c:formatCode>General</c:formatCode>
                <c:ptCount val="11"/>
                <c:pt idx="0">
                  <c:v>0</c:v>
                </c:pt>
                <c:pt idx="1">
                  <c:v>0.2945243112740431</c:v>
                </c:pt>
                <c:pt idx="2">
                  <c:v>0.49087385212340523</c:v>
                </c:pt>
                <c:pt idx="3">
                  <c:v>0.68722339297276724</c:v>
                </c:pt>
                <c:pt idx="4">
                  <c:v>0</c:v>
                </c:pt>
                <c:pt idx="5">
                  <c:v>0.2945243112740431</c:v>
                </c:pt>
                <c:pt idx="6">
                  <c:v>0.49087385212340523</c:v>
                </c:pt>
                <c:pt idx="7">
                  <c:v>0.68722339297276724</c:v>
                </c:pt>
                <c:pt idx="8">
                  <c:v>0</c:v>
                </c:pt>
                <c:pt idx="9">
                  <c:v>0.2945243112740431</c:v>
                </c:pt>
                <c:pt idx="10">
                  <c:v>0.49087385212340523</c:v>
                </c:pt>
              </c:numCache>
            </c:numRef>
          </c:xVal>
          <c:yVal>
            <c:numRef>
              <c:f>Sheet1!$AA$3:$AA$13</c:f>
              <c:numCache>
                <c:formatCode>General</c:formatCode>
                <c:ptCount val="11"/>
                <c:pt idx="0">
                  <c:v>0</c:v>
                </c:pt>
                <c:pt idx="1">
                  <c:v>0.91818646703905427</c:v>
                </c:pt>
                <c:pt idx="2">
                  <c:v>2.0417760387933614</c:v>
                </c:pt>
                <c:pt idx="3">
                  <c:v>3.6396084051071536</c:v>
                </c:pt>
                <c:pt idx="4">
                  <c:v>-0.17874680656058445</c:v>
                </c:pt>
                <c:pt idx="5">
                  <c:v>0.87589182492306394</c:v>
                </c:pt>
                <c:pt idx="6">
                  <c:v>1.9146150563536928</c:v>
                </c:pt>
                <c:pt idx="7">
                  <c:v>3.7964006772394674</c:v>
                </c:pt>
                <c:pt idx="8">
                  <c:v>0</c:v>
                </c:pt>
                <c:pt idx="9">
                  <c:v>2.0001277349601105</c:v>
                </c:pt>
                <c:pt idx="10">
                  <c:v>0.53062825106217038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40-4F49-B491-7786B3E6B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193135"/>
        <c:axId val="883191471"/>
      </c:scatterChart>
      <c:valAx>
        <c:axId val="88319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191471"/>
        <c:crosses val="autoZero"/>
        <c:crossBetween val="midCat"/>
      </c:valAx>
      <c:valAx>
        <c:axId val="88319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193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Hexanal First-Order</a:t>
            </a:r>
            <a:r>
              <a:rPr lang="en-US" baseline="0"/>
              <a:t>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Hexanal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759973753280839"/>
                  <c:y val="-0.170291265675123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Sheet1!$AB$18:$AB$23</c:f>
              <c:numCache>
                <c:formatCode>General</c:formatCode>
                <c:ptCount val="6"/>
                <c:pt idx="0">
                  <c:v>0</c:v>
                </c:pt>
                <c:pt idx="1">
                  <c:v>0.2945243112740431</c:v>
                </c:pt>
                <c:pt idx="2">
                  <c:v>0</c:v>
                </c:pt>
                <c:pt idx="3">
                  <c:v>0.2945243112740431</c:v>
                </c:pt>
                <c:pt idx="4">
                  <c:v>0</c:v>
                </c:pt>
                <c:pt idx="5">
                  <c:v>0.2945243112740431</c:v>
                </c:pt>
              </c:numCache>
            </c:numRef>
          </c:xVal>
          <c:yVal>
            <c:numRef>
              <c:f>Sheet1!$AA$18:$AA$23</c:f>
              <c:numCache>
                <c:formatCode>General</c:formatCode>
                <c:ptCount val="6"/>
                <c:pt idx="0">
                  <c:v>0</c:v>
                </c:pt>
                <c:pt idx="1">
                  <c:v>0.49112055268665833</c:v>
                </c:pt>
                <c:pt idx="2">
                  <c:v>0</c:v>
                </c:pt>
                <c:pt idx="3">
                  <c:v>0.21725960815523518</c:v>
                </c:pt>
                <c:pt idx="4">
                  <c:v>0</c:v>
                </c:pt>
                <c:pt idx="5">
                  <c:v>1.4350845252893227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08-44DB-9EC6-D4B39013E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892079"/>
        <c:axId val="884893327"/>
      </c:scatterChart>
      <c:valAx>
        <c:axId val="88489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893327"/>
        <c:crosses val="autoZero"/>
        <c:crossBetween val="midCat"/>
      </c:valAx>
      <c:valAx>
        <c:axId val="88489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892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1.3798993875765529E-2"/>
                  <c:y val="-0.401636410032079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Sheet1!$C$13:$C$16</c:f>
              <c:numCache>
                <c:formatCode>General</c:formatCode>
                <c:ptCount val="4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0.5</c:v>
                </c:pt>
              </c:numCache>
            </c:numRef>
          </c:xVal>
          <c:yVal>
            <c:numRef>
              <c:f>Sheet1!$F$13:$F$16</c:f>
              <c:numCache>
                <c:formatCode>General</c:formatCode>
                <c:ptCount val="4"/>
                <c:pt idx="0">
                  <c:v>12.8</c:v>
                </c:pt>
                <c:pt idx="1">
                  <c:v>4.53</c:v>
                </c:pt>
                <c:pt idx="2">
                  <c:v>0.69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0E-4513-98E5-3195B2AE3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516032"/>
        <c:axId val="1983587312"/>
      </c:scatterChart>
      <c:valAx>
        <c:axId val="208351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587312"/>
        <c:crosses val="autoZero"/>
        <c:crossBetween val="midCat"/>
      </c:valAx>
      <c:valAx>
        <c:axId val="198358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51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3-MB Zeroth Order Model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7343613298337709E-2"/>
                  <c:y val="-0.463101851851851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Sheet1!$F$46:$F$60</c:f>
              <c:numCache>
                <c:formatCode>General</c:formatCode>
                <c:ptCount val="15"/>
                <c:pt idx="0">
                  <c:v>0</c:v>
                </c:pt>
                <c:pt idx="1">
                  <c:v>0.2945243112740431</c:v>
                </c:pt>
                <c:pt idx="2">
                  <c:v>0.49087385212340523</c:v>
                </c:pt>
                <c:pt idx="3">
                  <c:v>0.68722339297276724</c:v>
                </c:pt>
                <c:pt idx="4">
                  <c:v>0.98174770424681046</c:v>
                </c:pt>
                <c:pt idx="5">
                  <c:v>0</c:v>
                </c:pt>
                <c:pt idx="6">
                  <c:v>0.2945243112740431</c:v>
                </c:pt>
                <c:pt idx="7">
                  <c:v>0.49087385212340523</c:v>
                </c:pt>
                <c:pt idx="8">
                  <c:v>0.68722339297276724</c:v>
                </c:pt>
                <c:pt idx="9">
                  <c:v>0.98174770424681046</c:v>
                </c:pt>
                <c:pt idx="10">
                  <c:v>0</c:v>
                </c:pt>
                <c:pt idx="11">
                  <c:v>0.2945243112740431</c:v>
                </c:pt>
                <c:pt idx="12">
                  <c:v>0.49087385212340523</c:v>
                </c:pt>
                <c:pt idx="13">
                  <c:v>0.68722339297276724</c:v>
                </c:pt>
                <c:pt idx="14">
                  <c:v>0.98174770424681046</c:v>
                </c:pt>
              </c:numCache>
            </c:numRef>
          </c:xVal>
          <c:yVal>
            <c:numRef>
              <c:f>Sheet1!$E$46:$E$60</c:f>
              <c:numCache>
                <c:formatCode>General</c:formatCode>
                <c:ptCount val="15"/>
                <c:pt idx="0">
                  <c:v>39.64</c:v>
                </c:pt>
                <c:pt idx="1">
                  <c:v>14.55</c:v>
                </c:pt>
                <c:pt idx="2">
                  <c:v>3.87</c:v>
                </c:pt>
                <c:pt idx="3">
                  <c:v>0</c:v>
                </c:pt>
                <c:pt idx="4">
                  <c:v>0</c:v>
                </c:pt>
                <c:pt idx="5">
                  <c:v>31.34</c:v>
                </c:pt>
                <c:pt idx="6">
                  <c:v>12.15</c:v>
                </c:pt>
                <c:pt idx="7">
                  <c:v>3.15</c:v>
                </c:pt>
                <c:pt idx="8">
                  <c:v>0</c:v>
                </c:pt>
                <c:pt idx="9">
                  <c:v>0</c:v>
                </c:pt>
                <c:pt idx="10">
                  <c:v>18</c:v>
                </c:pt>
                <c:pt idx="11">
                  <c:v>5.96</c:v>
                </c:pt>
                <c:pt idx="12">
                  <c:v>0.38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40-458D-A0AA-4FB95ACFD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21248"/>
        <c:axId val="1991872320"/>
      </c:scatterChart>
      <c:valAx>
        <c:axId val="2512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872320"/>
        <c:crosses val="autoZero"/>
        <c:crossBetween val="midCat"/>
      </c:valAx>
      <c:valAx>
        <c:axId val="199187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2-MB Zeroth-Order Model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1232502187226598E-2"/>
                  <c:y val="-0.349017935258092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Sheet1!$F$62:$F$76</c:f>
              <c:numCache>
                <c:formatCode>General</c:formatCode>
                <c:ptCount val="15"/>
                <c:pt idx="0">
                  <c:v>0</c:v>
                </c:pt>
                <c:pt idx="1">
                  <c:v>0.2945243112740431</c:v>
                </c:pt>
                <c:pt idx="2">
                  <c:v>0.49087385212340523</c:v>
                </c:pt>
                <c:pt idx="3">
                  <c:v>0.68722339297276724</c:v>
                </c:pt>
                <c:pt idx="4">
                  <c:v>0.98174770424681046</c:v>
                </c:pt>
                <c:pt idx="5">
                  <c:v>0</c:v>
                </c:pt>
                <c:pt idx="6">
                  <c:v>0.2945243112740431</c:v>
                </c:pt>
                <c:pt idx="7">
                  <c:v>0.49087385212340523</c:v>
                </c:pt>
                <c:pt idx="8">
                  <c:v>0.68722339297276724</c:v>
                </c:pt>
                <c:pt idx="9">
                  <c:v>0.98174770424681046</c:v>
                </c:pt>
                <c:pt idx="10">
                  <c:v>0</c:v>
                </c:pt>
                <c:pt idx="11">
                  <c:v>0.2945243112740431</c:v>
                </c:pt>
                <c:pt idx="12">
                  <c:v>0.49087385212340523</c:v>
                </c:pt>
                <c:pt idx="13">
                  <c:v>0.68722339297276724</c:v>
                </c:pt>
                <c:pt idx="14">
                  <c:v>0.98174770424681046</c:v>
                </c:pt>
              </c:numCache>
            </c:numRef>
          </c:xVal>
          <c:yVal>
            <c:numRef>
              <c:f>Sheet1!$E$62:$E$76</c:f>
              <c:numCache>
                <c:formatCode>General</c:formatCode>
                <c:ptCount val="15"/>
                <c:pt idx="0">
                  <c:v>39.6</c:v>
                </c:pt>
                <c:pt idx="1">
                  <c:v>15.81</c:v>
                </c:pt>
                <c:pt idx="2">
                  <c:v>5.14</c:v>
                </c:pt>
                <c:pt idx="3">
                  <c:v>1.04</c:v>
                </c:pt>
                <c:pt idx="4">
                  <c:v>0</c:v>
                </c:pt>
                <c:pt idx="5">
                  <c:v>30.733000000000001</c:v>
                </c:pt>
                <c:pt idx="6">
                  <c:v>12.8</c:v>
                </c:pt>
                <c:pt idx="7">
                  <c:v>4.53</c:v>
                </c:pt>
                <c:pt idx="8">
                  <c:v>0.69</c:v>
                </c:pt>
                <c:pt idx="9">
                  <c:v>0</c:v>
                </c:pt>
                <c:pt idx="10">
                  <c:v>16.36</c:v>
                </c:pt>
                <c:pt idx="11">
                  <c:v>7.39</c:v>
                </c:pt>
                <c:pt idx="12">
                  <c:v>1.7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F3-4461-B5CF-3864A4602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853744"/>
        <c:axId val="1943646864"/>
      </c:scatterChart>
      <c:valAx>
        <c:axId val="21348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646864"/>
        <c:crosses val="autoZero"/>
        <c:crossBetween val="midCat"/>
      </c:valAx>
      <c:valAx>
        <c:axId val="194364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85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Hexanal Zeroth-Order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Hexanal Zeorth-Order Model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9807524059492566E-3"/>
                  <c:y val="-0.304107611548556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Sheet1!$F$78:$F$92</c:f>
              <c:numCache>
                <c:formatCode>General</c:formatCode>
                <c:ptCount val="15"/>
                <c:pt idx="0">
                  <c:v>0</c:v>
                </c:pt>
                <c:pt idx="1">
                  <c:v>0.2945243112740431</c:v>
                </c:pt>
                <c:pt idx="2">
                  <c:v>0.49087385212340523</c:v>
                </c:pt>
                <c:pt idx="3">
                  <c:v>0.68722339297276724</c:v>
                </c:pt>
                <c:pt idx="4">
                  <c:v>0.98174770424681046</c:v>
                </c:pt>
                <c:pt idx="5">
                  <c:v>0</c:v>
                </c:pt>
                <c:pt idx="6">
                  <c:v>0.2945243112740431</c:v>
                </c:pt>
                <c:pt idx="7">
                  <c:v>0.49087385212340523</c:v>
                </c:pt>
                <c:pt idx="8">
                  <c:v>0.68722339297276724</c:v>
                </c:pt>
                <c:pt idx="9">
                  <c:v>0.98174770424681046</c:v>
                </c:pt>
                <c:pt idx="10">
                  <c:v>0</c:v>
                </c:pt>
                <c:pt idx="11">
                  <c:v>0.2945243112740431</c:v>
                </c:pt>
                <c:pt idx="12">
                  <c:v>0.49087385212340523</c:v>
                </c:pt>
                <c:pt idx="13">
                  <c:v>0.68722339297276724</c:v>
                </c:pt>
                <c:pt idx="14">
                  <c:v>0.98174770424681046</c:v>
                </c:pt>
              </c:numCache>
            </c:numRef>
          </c:xVal>
          <c:yVal>
            <c:numRef>
              <c:f>Sheet1!$E$78:$E$92</c:f>
              <c:numCache>
                <c:formatCode>General</c:formatCode>
                <c:ptCount val="15"/>
                <c:pt idx="0">
                  <c:v>6.7</c:v>
                </c:pt>
                <c:pt idx="1">
                  <c:v>4.0999999999999996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4.66</c:v>
                </c:pt>
                <c:pt idx="6">
                  <c:v>3.75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4.2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9B-4C26-9560-C61874753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54848"/>
        <c:axId val="1987226768"/>
      </c:scatterChart>
      <c:valAx>
        <c:axId val="2515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226768"/>
        <c:crosses val="autoZero"/>
        <c:crossBetween val="midCat"/>
      </c:valAx>
      <c:valAx>
        <c:axId val="198722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5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3-MB Second-Order Model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Sheet1!$J$63:$J$71</c:f>
              <c:numCache>
                <c:formatCode>General</c:formatCode>
                <c:ptCount val="9"/>
                <c:pt idx="0">
                  <c:v>0</c:v>
                </c:pt>
                <c:pt idx="1">
                  <c:v>0.2945243112740431</c:v>
                </c:pt>
                <c:pt idx="2">
                  <c:v>0.49087385212340523</c:v>
                </c:pt>
                <c:pt idx="3">
                  <c:v>0</c:v>
                </c:pt>
                <c:pt idx="4">
                  <c:v>0.2945243112740431</c:v>
                </c:pt>
                <c:pt idx="5">
                  <c:v>0.49087385212340523</c:v>
                </c:pt>
                <c:pt idx="6">
                  <c:v>0</c:v>
                </c:pt>
                <c:pt idx="7">
                  <c:v>0.2945243112740431</c:v>
                </c:pt>
                <c:pt idx="8">
                  <c:v>0.49087385212340523</c:v>
                </c:pt>
              </c:numCache>
            </c:numRef>
          </c:xVal>
          <c:yVal>
            <c:numRef>
              <c:f>Sheet1!$I$63:$I$71</c:f>
              <c:numCache>
                <c:formatCode>General</c:formatCode>
                <c:ptCount val="9"/>
                <c:pt idx="0">
                  <c:v>0</c:v>
                </c:pt>
                <c:pt idx="1">
                  <c:v>4.3501478946255119E-2</c:v>
                </c:pt>
                <c:pt idx="2">
                  <c:v>0.23317088942602282</c:v>
                </c:pt>
                <c:pt idx="3">
                  <c:v>0</c:v>
                </c:pt>
                <c:pt idx="4">
                  <c:v>5.0396422090387916E-2</c:v>
                </c:pt>
                <c:pt idx="5">
                  <c:v>0.28555221280173415</c:v>
                </c:pt>
                <c:pt idx="6">
                  <c:v>0</c:v>
                </c:pt>
                <c:pt idx="7">
                  <c:v>0.11222967934377331</c:v>
                </c:pt>
                <c:pt idx="8">
                  <c:v>2.5760233918128659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D8-4A9A-804A-A4F8A3EB1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68848"/>
        <c:axId val="2133735424"/>
      </c:scatterChart>
      <c:valAx>
        <c:axId val="2516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735424"/>
        <c:crosses val="autoZero"/>
        <c:crossBetween val="midCat"/>
      </c:valAx>
      <c:valAx>
        <c:axId val="21337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6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242268</xdr:colOff>
      <xdr:row>47</xdr:row>
      <xdr:rowOff>47501</xdr:rowOff>
    </xdr:from>
    <xdr:to>
      <xdr:col>29</xdr:col>
      <xdr:colOff>566985</xdr:colOff>
      <xdr:row>61</xdr:row>
      <xdr:rowOff>123701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316429</xdr:colOff>
      <xdr:row>62</xdr:row>
      <xdr:rowOff>31668</xdr:rowOff>
    </xdr:from>
    <xdr:to>
      <xdr:col>30</xdr:col>
      <xdr:colOff>8908</xdr:colOff>
      <xdr:row>76</xdr:row>
      <xdr:rowOff>107868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237787</xdr:colOff>
      <xdr:row>32</xdr:row>
      <xdr:rowOff>16958</xdr:rowOff>
    </xdr:from>
    <xdr:to>
      <xdr:col>29</xdr:col>
      <xdr:colOff>538400</xdr:colOff>
      <xdr:row>46</xdr:row>
      <xdr:rowOff>163296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564325</xdr:colOff>
      <xdr:row>27</xdr:row>
      <xdr:rowOff>177944</xdr:rowOff>
    </xdr:from>
    <xdr:to>
      <xdr:col>10</xdr:col>
      <xdr:colOff>50965</xdr:colOff>
      <xdr:row>42</xdr:row>
      <xdr:rowOff>63644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3F9F0D-9DCE-4C57-9BBE-48F25467D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569025</xdr:colOff>
      <xdr:row>47</xdr:row>
      <xdr:rowOff>53439</xdr:rowOff>
    </xdr:from>
    <xdr:to>
      <xdr:col>22</xdr:col>
      <xdr:colOff>95250</xdr:colOff>
      <xdr:row>61</xdr:row>
      <xdr:rowOff>129639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FDCF6F5-9B85-488E-B951-F90609647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598713</xdr:colOff>
      <xdr:row>62</xdr:row>
      <xdr:rowOff>43544</xdr:rowOff>
    </xdr:from>
    <xdr:to>
      <xdr:col>22</xdr:col>
      <xdr:colOff>81642</xdr:colOff>
      <xdr:row>76</xdr:row>
      <xdr:rowOff>119744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961B7A8-AB09-4B0F-809F-3875AFF85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6803</xdr:colOff>
      <xdr:row>32</xdr:row>
      <xdr:rowOff>2722</xdr:rowOff>
    </xdr:from>
    <xdr:to>
      <xdr:col>22</xdr:col>
      <xdr:colOff>102053</xdr:colOff>
      <xdr:row>46</xdr:row>
      <xdr:rowOff>78922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CC8F154-BDC7-4D7B-A0E1-31A41A81A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177220</xdr:colOff>
      <xdr:row>47</xdr:row>
      <xdr:rowOff>133514</xdr:rowOff>
    </xdr:from>
    <xdr:to>
      <xdr:col>37</xdr:col>
      <xdr:colOff>513396</xdr:colOff>
      <xdr:row>62</xdr:row>
      <xdr:rowOff>19214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6960071-10EC-4AD3-BD78-CD51FAB7AB94}"/>
            </a:ext>
            <a:ext uri="{147F2762-F138-4A5C-976F-8EAC2B608ADB}">
              <a16:predDERef xmlns:a16="http://schemas.microsoft.com/office/drawing/2014/main" pred="{2CC8F154-BDC7-4D7B-A0E1-31A41A81A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92"/>
  <sheetViews>
    <sheetView tabSelected="1" topLeftCell="A2" zoomScale="85" zoomScaleNormal="85" workbookViewId="0">
      <selection activeCell="K25" sqref="K25"/>
    </sheetView>
  </sheetViews>
  <sheetFormatPr defaultRowHeight="15"/>
  <cols>
    <col min="2" max="2" width="11.28515625" bestFit="1" customWidth="1"/>
    <col min="3" max="3" width="12.28515625" bestFit="1" customWidth="1"/>
    <col min="11" max="11" width="11.28515625" bestFit="1" customWidth="1"/>
    <col min="12" max="12" width="14.42578125" bestFit="1" customWidth="1"/>
    <col min="13" max="13" width="10.28515625" customWidth="1"/>
    <col min="16" max="16" width="9.42578125" customWidth="1"/>
    <col min="17" max="17" width="7.42578125" bestFit="1" customWidth="1"/>
    <col min="18" max="18" width="10.7109375" customWidth="1"/>
    <col min="21" max="21" width="12" bestFit="1" customWidth="1"/>
  </cols>
  <sheetData>
    <row r="1" spans="1:39" ht="15.75" thickBot="1">
      <c r="A1" s="1"/>
      <c r="B1" s="1"/>
      <c r="C1" s="1"/>
      <c r="D1" s="1"/>
      <c r="E1" s="1"/>
      <c r="F1" s="1"/>
      <c r="G1" s="1"/>
      <c r="H1" s="1"/>
      <c r="X1" s="49" t="s">
        <v>0</v>
      </c>
      <c r="Y1" s="49"/>
      <c r="AA1" s="49" t="s">
        <v>1</v>
      </c>
      <c r="AB1" s="49"/>
    </row>
    <row r="2" spans="1:39" ht="15.75" thickBot="1">
      <c r="A2" s="1"/>
      <c r="B2" s="1"/>
      <c r="C2" s="1"/>
      <c r="D2" s="46" t="s">
        <v>2</v>
      </c>
      <c r="E2" s="47"/>
      <c r="F2" s="47"/>
      <c r="G2" s="47"/>
      <c r="H2" s="48"/>
      <c r="M2" s="50" t="s">
        <v>3</v>
      </c>
      <c r="N2" s="50"/>
      <c r="O2" s="50"/>
      <c r="P2" s="50"/>
      <c r="Q2" s="50"/>
      <c r="T2" t="s">
        <v>4</v>
      </c>
      <c r="U2" t="s">
        <v>5</v>
      </c>
      <c r="W2" t="s">
        <v>6</v>
      </c>
      <c r="X2" t="s">
        <v>7</v>
      </c>
      <c r="Y2" t="s">
        <v>4</v>
      </c>
      <c r="AA2" t="s">
        <v>7</v>
      </c>
      <c r="AB2" t="s">
        <v>4</v>
      </c>
    </row>
    <row r="3" spans="1:39" ht="15.75" thickBot="1">
      <c r="A3" s="1"/>
      <c r="B3" s="10">
        <v>39052</v>
      </c>
      <c r="C3" s="20" t="s">
        <v>8</v>
      </c>
      <c r="D3" s="11" t="s">
        <v>9</v>
      </c>
      <c r="E3" s="12" t="s">
        <v>10</v>
      </c>
      <c r="F3" s="12" t="s">
        <v>11</v>
      </c>
      <c r="G3" s="12" t="s">
        <v>12</v>
      </c>
      <c r="H3" s="13" t="s">
        <v>13</v>
      </c>
      <c r="K3" s="10">
        <v>39052</v>
      </c>
      <c r="L3" s="20" t="s">
        <v>14</v>
      </c>
      <c r="M3" s="11" t="s">
        <v>9</v>
      </c>
      <c r="N3" s="12" t="s">
        <v>10</v>
      </c>
      <c r="O3" s="12" t="s">
        <v>11</v>
      </c>
      <c r="P3" s="12" t="s">
        <v>12</v>
      </c>
      <c r="Q3" s="13" t="s">
        <v>13</v>
      </c>
      <c r="W3">
        <f>Y3*60</f>
        <v>17.67145867644258</v>
      </c>
      <c r="X3">
        <f>LN(N5)</f>
        <v>1.0022477158442857</v>
      </c>
      <c r="Y3">
        <v>0.29452431127404299</v>
      </c>
      <c r="AA3">
        <f>LN(O4)</f>
        <v>0</v>
      </c>
      <c r="AB3">
        <v>0</v>
      </c>
      <c r="AF3" s="1"/>
      <c r="AG3" s="46" t="s">
        <v>15</v>
      </c>
      <c r="AH3" s="48"/>
    </row>
    <row r="4" spans="1:39" ht="15.75" thickBot="1">
      <c r="A4" s="1"/>
      <c r="B4" s="8" t="s">
        <v>16</v>
      </c>
      <c r="C4" s="9">
        <v>0</v>
      </c>
      <c r="D4" s="14">
        <v>16.05</v>
      </c>
      <c r="E4" s="15">
        <v>39.64</v>
      </c>
      <c r="F4" s="15">
        <v>39.6</v>
      </c>
      <c r="G4" s="15">
        <v>6.7</v>
      </c>
      <c r="H4" s="16">
        <v>1.68</v>
      </c>
      <c r="K4" s="8" t="s">
        <v>16</v>
      </c>
      <c r="L4" s="9">
        <v>0</v>
      </c>
      <c r="M4" s="14">
        <f>16.05/D4</f>
        <v>1</v>
      </c>
      <c r="N4" s="15">
        <f>39.64/E4</f>
        <v>1</v>
      </c>
      <c r="O4" s="15">
        <f>39.6/F4</f>
        <v>1</v>
      </c>
      <c r="P4" s="15">
        <f>6.7/G4</f>
        <v>1</v>
      </c>
      <c r="Q4" s="16">
        <f>1.68/H4</f>
        <v>1</v>
      </c>
      <c r="T4">
        <f>L4/4</f>
        <v>0</v>
      </c>
      <c r="U4" t="e">
        <f>T4/(39.64-E4)</f>
        <v>#DIV/0!</v>
      </c>
      <c r="W4">
        <f t="shared" ref="W4:W11" si="0">Y4*60</f>
        <v>29.452431127404314</v>
      </c>
      <c r="X4">
        <f>LN(N6)</f>
        <v>2.3265842024200967</v>
      </c>
      <c r="Y4">
        <v>0.49087385212340523</v>
      </c>
      <c r="AA4">
        <f t="shared" ref="AA4:AA6" si="1">LN(O5)</f>
        <v>0.91818646703905427</v>
      </c>
      <c r="AB4">
        <v>0.2945243112740431</v>
      </c>
      <c r="AF4" s="36" t="s">
        <v>17</v>
      </c>
      <c r="AG4" s="37">
        <v>1</v>
      </c>
      <c r="AH4" s="38">
        <v>2</v>
      </c>
      <c r="AK4" s="36" t="s">
        <v>18</v>
      </c>
      <c r="AL4" s="41" t="s">
        <v>19</v>
      </c>
      <c r="AM4" s="41" t="s">
        <v>20</v>
      </c>
    </row>
    <row r="5" spans="1:39" ht="15.75" thickBot="1">
      <c r="A5" s="1"/>
      <c r="B5" s="4" t="s">
        <v>21</v>
      </c>
      <c r="C5" s="5">
        <v>0.15</v>
      </c>
      <c r="D5" s="17">
        <v>15.1</v>
      </c>
      <c r="E5" s="3">
        <v>14.55</v>
      </c>
      <c r="F5" s="3">
        <v>15.81</v>
      </c>
      <c r="G5" s="3">
        <v>4.0999999999999996</v>
      </c>
      <c r="H5" s="5">
        <v>1.97</v>
      </c>
      <c r="K5" s="4" t="s">
        <v>21</v>
      </c>
      <c r="L5" s="5">
        <f>0.15*(B28)</f>
        <v>1.1780972450961724E-3</v>
      </c>
      <c r="M5" s="14">
        <f t="shared" ref="M5:M8" si="2">16.05/D5</f>
        <v>1.0629139072847682</v>
      </c>
      <c r="N5" s="15">
        <f t="shared" ref="N5:N8" si="3">39.64/E5</f>
        <v>2.7243986254295534</v>
      </c>
      <c r="O5" s="15">
        <f t="shared" ref="O5:O8" si="4">39.6/F5</f>
        <v>2.5047438330170779</v>
      </c>
      <c r="P5" s="15">
        <f t="shared" ref="P5:P8" si="5">6.7/G5</f>
        <v>1.6341463414634148</v>
      </c>
      <c r="Q5" s="16">
        <f t="shared" ref="Q5:Q8" si="6">1.68/H5</f>
        <v>0.85279187817258884</v>
      </c>
      <c r="T5">
        <f>L5/0.004</f>
        <v>0.2945243112740431</v>
      </c>
      <c r="U5">
        <f t="shared" ref="U5:U6" si="7">T5/(39.64-E5)</f>
        <v>1.1738713083859828E-2</v>
      </c>
      <c r="W5">
        <f t="shared" si="0"/>
        <v>17.671458676442587</v>
      </c>
      <c r="X5">
        <f>LN(N13)</f>
        <v>0.94756606714131719</v>
      </c>
      <c r="Y5">
        <v>0.2945243112740431</v>
      </c>
      <c r="AA5">
        <f t="shared" si="1"/>
        <v>2.0417760387933614</v>
      </c>
      <c r="AB5">
        <v>0.49087385212340523</v>
      </c>
      <c r="AF5" s="39" t="s">
        <v>22</v>
      </c>
      <c r="AG5" s="21"/>
      <c r="AH5" s="40"/>
      <c r="AK5" s="14" t="s">
        <v>23</v>
      </c>
      <c r="AL5" s="15" t="s">
        <v>24</v>
      </c>
      <c r="AM5" s="16" t="s">
        <v>25</v>
      </c>
    </row>
    <row r="6" spans="1:39" ht="15.75" thickBot="1">
      <c r="A6" s="1"/>
      <c r="B6" s="4" t="s">
        <v>26</v>
      </c>
      <c r="C6" s="5">
        <v>0.25</v>
      </c>
      <c r="D6" s="17">
        <v>14.57</v>
      </c>
      <c r="E6" s="3">
        <v>3.87</v>
      </c>
      <c r="F6" s="3">
        <v>5.14</v>
      </c>
      <c r="G6" s="3">
        <v>0</v>
      </c>
      <c r="H6" s="5">
        <v>2.0299999999999998</v>
      </c>
      <c r="K6" s="4" t="s">
        <v>26</v>
      </c>
      <c r="L6" s="5">
        <f>0.25*B28</f>
        <v>1.9634954084936209E-3</v>
      </c>
      <c r="M6" s="14">
        <f t="shared" si="2"/>
        <v>1.1015785861358958</v>
      </c>
      <c r="N6" s="15">
        <f t="shared" si="3"/>
        <v>10.242894056847545</v>
      </c>
      <c r="O6" s="15">
        <f t="shared" si="4"/>
        <v>7.7042801556420244</v>
      </c>
      <c r="P6" s="15" t="e">
        <f t="shared" si="5"/>
        <v>#DIV/0!</v>
      </c>
      <c r="Q6" s="16">
        <f t="shared" si="6"/>
        <v>0.82758620689655182</v>
      </c>
      <c r="T6">
        <f>L6/0.004</f>
        <v>0.49087385212340523</v>
      </c>
      <c r="U6">
        <f t="shared" si="7"/>
        <v>1.3723059886033133E-2</v>
      </c>
      <c r="W6">
        <f t="shared" si="0"/>
        <v>29.452431127404314</v>
      </c>
      <c r="X6">
        <f>LN(N14)</f>
        <v>2.2974927840903332</v>
      </c>
      <c r="Y6">
        <v>0.49087385212340523</v>
      </c>
      <c r="AA6">
        <f t="shared" si="1"/>
        <v>3.6396084051071536</v>
      </c>
      <c r="AB6">
        <f>L7/0.004</f>
        <v>0.68722339297276724</v>
      </c>
      <c r="AF6" s="25" t="s">
        <v>27</v>
      </c>
      <c r="AG6" s="26">
        <v>22.8</v>
      </c>
      <c r="AH6" s="27">
        <v>19.600000000000001</v>
      </c>
      <c r="AK6" s="17" t="s">
        <v>28</v>
      </c>
      <c r="AL6" s="3" t="s">
        <v>29</v>
      </c>
      <c r="AM6" s="5" t="s">
        <v>30</v>
      </c>
    </row>
    <row r="7" spans="1:39" ht="15.75" thickBot="1">
      <c r="A7" s="1"/>
      <c r="B7" s="4" t="s">
        <v>31</v>
      </c>
      <c r="C7" s="5">
        <v>0.35</v>
      </c>
      <c r="D7" s="17">
        <v>11.25</v>
      </c>
      <c r="E7" s="3">
        <v>0</v>
      </c>
      <c r="F7" s="3">
        <v>1.04</v>
      </c>
      <c r="G7" s="3">
        <v>0</v>
      </c>
      <c r="H7" s="5">
        <v>2.2000000000000002</v>
      </c>
      <c r="K7" s="4" t="s">
        <v>31</v>
      </c>
      <c r="L7" s="5">
        <f>0.35*B28</f>
        <v>2.7488935718910689E-3</v>
      </c>
      <c r="M7" s="14">
        <f t="shared" si="2"/>
        <v>1.4266666666666667</v>
      </c>
      <c r="N7" s="15" t="e">
        <f t="shared" si="3"/>
        <v>#DIV/0!</v>
      </c>
      <c r="O7" s="15">
        <f t="shared" si="4"/>
        <v>38.07692307692308</v>
      </c>
      <c r="P7" s="15" t="e">
        <f t="shared" si="5"/>
        <v>#DIV/0!</v>
      </c>
      <c r="Q7" s="16">
        <f t="shared" si="6"/>
        <v>0.76363636363636356</v>
      </c>
      <c r="W7">
        <f t="shared" si="0"/>
        <v>17.671458676442587</v>
      </c>
      <c r="X7">
        <f>LN(N20)</f>
        <v>1.1053012768189063</v>
      </c>
      <c r="Y7">
        <v>0.2945243112740431</v>
      </c>
      <c r="AA7">
        <f>LN(O12)</f>
        <v>-0.17874680656058445</v>
      </c>
      <c r="AB7">
        <v>0</v>
      </c>
      <c r="AF7" s="28" t="s">
        <v>32</v>
      </c>
      <c r="AG7" s="24">
        <v>8.8000000000000007</v>
      </c>
      <c r="AH7" s="29">
        <v>6.4</v>
      </c>
      <c r="AK7" s="17" t="s">
        <v>33</v>
      </c>
      <c r="AL7" s="3" t="s">
        <v>34</v>
      </c>
      <c r="AM7" s="5" t="s">
        <v>35</v>
      </c>
    </row>
    <row r="8" spans="1:39" ht="15.75" thickBot="1">
      <c r="A8" s="1"/>
      <c r="B8" s="6" t="s">
        <v>36</v>
      </c>
      <c r="C8" s="7">
        <v>0.5</v>
      </c>
      <c r="D8" s="18">
        <v>9.11</v>
      </c>
      <c r="E8" s="19">
        <v>0</v>
      </c>
      <c r="F8" s="19">
        <v>0</v>
      </c>
      <c r="G8" s="19">
        <v>0</v>
      </c>
      <c r="H8" s="7">
        <v>2.2999999999999998</v>
      </c>
      <c r="K8" s="6" t="s">
        <v>36</v>
      </c>
      <c r="L8" s="7">
        <f>0.5*B28</f>
        <v>3.9269908169872417E-3</v>
      </c>
      <c r="M8" s="14">
        <f t="shared" si="2"/>
        <v>1.7618002195389684</v>
      </c>
      <c r="N8" s="15" t="e">
        <f t="shared" si="3"/>
        <v>#DIV/0!</v>
      </c>
      <c r="O8" s="15" t="e">
        <f t="shared" si="4"/>
        <v>#DIV/0!</v>
      </c>
      <c r="P8" s="15" t="e">
        <f t="shared" si="5"/>
        <v>#DIV/0!</v>
      </c>
      <c r="Q8" s="16">
        <f t="shared" si="6"/>
        <v>0.73043478260869565</v>
      </c>
      <c r="W8">
        <f t="shared" si="0"/>
        <v>29.452431127404314</v>
      </c>
      <c r="X8">
        <f>LN(N21)</f>
        <v>3.8579557841578702</v>
      </c>
      <c r="Y8">
        <v>0.49087385212340523</v>
      </c>
      <c r="AA8">
        <f t="shared" ref="AA8:AA10" si="8">LN(O13)</f>
        <v>0.87589182492306394</v>
      </c>
      <c r="AB8">
        <v>0.2945243112740431</v>
      </c>
      <c r="AF8" s="28" t="s">
        <v>37</v>
      </c>
      <c r="AG8" s="24">
        <v>11.1</v>
      </c>
      <c r="AH8" s="29">
        <v>14.1</v>
      </c>
      <c r="AK8" s="17" t="s">
        <v>38</v>
      </c>
      <c r="AL8" s="3" t="s">
        <v>39</v>
      </c>
      <c r="AM8" s="5" t="s">
        <v>40</v>
      </c>
    </row>
    <row r="9" spans="1:39" ht="15.75" thickBot="1">
      <c r="A9" s="1"/>
      <c r="B9" s="1"/>
      <c r="C9" s="1"/>
      <c r="D9" s="2"/>
      <c r="E9" s="2"/>
      <c r="F9" s="2"/>
      <c r="G9" s="2"/>
      <c r="H9" s="2"/>
      <c r="K9" s="44" t="s">
        <v>41</v>
      </c>
      <c r="L9">
        <v>4.0000000000000001E-3</v>
      </c>
      <c r="W9">
        <f t="shared" si="0"/>
        <v>0</v>
      </c>
      <c r="X9">
        <v>0</v>
      </c>
      <c r="Y9">
        <v>0</v>
      </c>
      <c r="AA9">
        <f t="shared" si="8"/>
        <v>1.9146150563536928</v>
      </c>
      <c r="AB9">
        <v>0.49087385212340523</v>
      </c>
      <c r="AF9" s="28" t="s">
        <v>42</v>
      </c>
      <c r="AG9" s="24">
        <v>17.100000000000001</v>
      </c>
      <c r="AH9" s="29">
        <v>12</v>
      </c>
      <c r="AK9" s="18" t="s">
        <v>43</v>
      </c>
      <c r="AL9" s="19" t="s">
        <v>44</v>
      </c>
      <c r="AM9" s="7" t="s">
        <v>45</v>
      </c>
    </row>
    <row r="10" spans="1:39" ht="15.75" thickBot="1">
      <c r="A10" s="1"/>
      <c r="B10" s="1"/>
      <c r="C10" s="1"/>
      <c r="D10" s="46" t="s">
        <v>2</v>
      </c>
      <c r="E10" s="47"/>
      <c r="F10" s="47"/>
      <c r="G10" s="47"/>
      <c r="H10" s="48"/>
      <c r="W10">
        <f t="shared" si="0"/>
        <v>0</v>
      </c>
      <c r="X10">
        <v>0</v>
      </c>
      <c r="Y10">
        <v>0</v>
      </c>
      <c r="AA10">
        <f t="shared" si="8"/>
        <v>3.7964006772394674</v>
      </c>
      <c r="AB10">
        <v>0.68722339297276724</v>
      </c>
      <c r="AF10" s="28" t="s">
        <v>46</v>
      </c>
      <c r="AG10" s="24">
        <v>27.2</v>
      </c>
      <c r="AH10" s="29">
        <v>30.3</v>
      </c>
      <c r="AK10" s="42" t="s">
        <v>47</v>
      </c>
    </row>
    <row r="11" spans="1:39" ht="15.75" thickBot="1">
      <c r="A11" s="1"/>
      <c r="B11" s="10">
        <v>39055</v>
      </c>
      <c r="C11" s="20" t="s">
        <v>8</v>
      </c>
      <c r="D11" s="11" t="s">
        <v>9</v>
      </c>
      <c r="E11" s="12" t="s">
        <v>10</v>
      </c>
      <c r="F11" s="12" t="s">
        <v>11</v>
      </c>
      <c r="G11" s="12" t="s">
        <v>12</v>
      </c>
      <c r="H11" s="13" t="s">
        <v>13</v>
      </c>
      <c r="K11" s="10">
        <v>39055</v>
      </c>
      <c r="L11" s="20" t="s">
        <v>14</v>
      </c>
      <c r="M11" s="11" t="s">
        <v>9</v>
      </c>
      <c r="N11" s="12" t="s">
        <v>10</v>
      </c>
      <c r="O11" s="12" t="s">
        <v>11</v>
      </c>
      <c r="P11" s="12" t="s">
        <v>12</v>
      </c>
      <c r="Q11" s="13" t="s">
        <v>13</v>
      </c>
      <c r="W11">
        <f t="shared" si="0"/>
        <v>0</v>
      </c>
      <c r="X11">
        <v>0</v>
      </c>
      <c r="Y11">
        <v>0</v>
      </c>
      <c r="AA11">
        <f>LN(O19)</f>
        <v>0</v>
      </c>
      <c r="AB11">
        <v>0</v>
      </c>
      <c r="AF11" s="28" t="s">
        <v>12</v>
      </c>
      <c r="AG11" s="24">
        <v>3.2</v>
      </c>
      <c r="AH11" s="29">
        <v>0.8</v>
      </c>
    </row>
    <row r="12" spans="1:39" ht="15.75" thickBot="1">
      <c r="A12" s="1"/>
      <c r="B12" s="8" t="s">
        <v>16</v>
      </c>
      <c r="C12" s="9">
        <v>0</v>
      </c>
      <c r="D12" s="14">
        <v>20.03</v>
      </c>
      <c r="E12" s="15">
        <v>31.34</v>
      </c>
      <c r="F12" s="45">
        <v>36.747999999999998</v>
      </c>
      <c r="G12" s="15">
        <v>4.66</v>
      </c>
      <c r="H12" s="16">
        <v>1.62</v>
      </c>
      <c r="K12" s="8" t="s">
        <v>16</v>
      </c>
      <c r="L12" s="9">
        <v>0</v>
      </c>
      <c r="M12" s="14">
        <f>D12/20.03</f>
        <v>1</v>
      </c>
      <c r="N12" s="15">
        <f>31.34/E12</f>
        <v>1</v>
      </c>
      <c r="O12" s="15">
        <f>30.733/F12</f>
        <v>0.83631762272776755</v>
      </c>
      <c r="P12" s="15">
        <f>4.66/G12</f>
        <v>1</v>
      </c>
      <c r="Q12" s="16">
        <f>H12/1.62</f>
        <v>1</v>
      </c>
      <c r="AA12">
        <f t="shared" ref="AA12:AA14" si="9">LN(O20)</f>
        <v>2.0001277349601105</v>
      </c>
      <c r="AB12">
        <v>0.2945243112740431</v>
      </c>
      <c r="AF12" s="22" t="s">
        <v>48</v>
      </c>
      <c r="AG12" s="24">
        <v>0.01</v>
      </c>
      <c r="AH12" s="29">
        <v>0.04</v>
      </c>
    </row>
    <row r="13" spans="1:39" ht="15.75" thickBot="1">
      <c r="A13" s="1"/>
      <c r="B13" s="4" t="s">
        <v>21</v>
      </c>
      <c r="C13" s="5">
        <v>0.15</v>
      </c>
      <c r="D13" s="17">
        <v>16.36</v>
      </c>
      <c r="E13" s="3">
        <v>12.15</v>
      </c>
      <c r="F13" s="3">
        <v>12.8</v>
      </c>
      <c r="G13" s="3">
        <v>3.75</v>
      </c>
      <c r="H13" s="5">
        <v>0.17199999999999999</v>
      </c>
      <c r="K13" s="4" t="s">
        <v>21</v>
      </c>
      <c r="L13" s="5">
        <v>1.1780972450961724E-3</v>
      </c>
      <c r="M13" s="14">
        <f t="shared" ref="M13:M16" si="10">D13/20.03</f>
        <v>0.81677483774338488</v>
      </c>
      <c r="N13" s="15">
        <f t="shared" ref="N13:N14" si="11">31.34/E13</f>
        <v>2.5794238683127571</v>
      </c>
      <c r="O13" s="15">
        <f t="shared" ref="O13:O16" si="12">30.733/F13</f>
        <v>2.4010156249999999</v>
      </c>
      <c r="P13" s="15">
        <f>4.66/G13</f>
        <v>1.2426666666666668</v>
      </c>
      <c r="Q13" s="16">
        <f t="shared" ref="Q13:Q16" si="13">H13/1.62</f>
        <v>0.10617283950617283</v>
      </c>
      <c r="U13">
        <f>T5/(31.34-E13)</f>
        <v>1.534780152548427E-2</v>
      </c>
      <c r="AA13">
        <f t="shared" si="9"/>
        <v>0.53062825106217038</v>
      </c>
      <c r="AB13">
        <v>0.49087385212340523</v>
      </c>
      <c r="AF13" s="28" t="s">
        <v>49</v>
      </c>
      <c r="AG13" s="23" t="s">
        <v>50</v>
      </c>
      <c r="AH13" s="29" t="s">
        <v>51</v>
      </c>
    </row>
    <row r="14" spans="1:39" ht="15.75" thickBot="1">
      <c r="A14" s="1"/>
      <c r="B14" s="4" t="s">
        <v>26</v>
      </c>
      <c r="C14" s="5">
        <v>0.25</v>
      </c>
      <c r="D14" s="17">
        <v>13.61</v>
      </c>
      <c r="E14" s="3">
        <v>3.15</v>
      </c>
      <c r="F14" s="3">
        <v>4.53</v>
      </c>
      <c r="G14" s="3">
        <v>0</v>
      </c>
      <c r="H14" s="5">
        <v>1.95</v>
      </c>
      <c r="K14" s="4" t="s">
        <v>26</v>
      </c>
      <c r="L14" s="5">
        <v>1.9634954084936209E-3</v>
      </c>
      <c r="M14" s="14">
        <f t="shared" si="10"/>
        <v>0.67948077883175229</v>
      </c>
      <c r="N14" s="15">
        <f t="shared" si="11"/>
        <v>9.9492063492063494</v>
      </c>
      <c r="O14" s="15">
        <f t="shared" si="12"/>
        <v>6.7843267108167771</v>
      </c>
      <c r="P14" s="15">
        <f t="shared" ref="P14:P16" si="14">G14/4.66</f>
        <v>0</v>
      </c>
      <c r="Q14" s="16">
        <f t="shared" si="13"/>
        <v>1.2037037037037035</v>
      </c>
      <c r="U14">
        <f>T6/(31.34-E14)</f>
        <v>1.7413049028854388E-2</v>
      </c>
      <c r="AA14" t="e">
        <f t="shared" si="9"/>
        <v>#NUM!</v>
      </c>
      <c r="AB14">
        <f>L15/0.004</f>
        <v>0.68722339297276724</v>
      </c>
      <c r="AF14" s="28" t="s">
        <v>52</v>
      </c>
      <c r="AG14" s="24" t="s">
        <v>50</v>
      </c>
      <c r="AH14" s="29" t="s">
        <v>51</v>
      </c>
    </row>
    <row r="15" spans="1:39" ht="15.75" thickBot="1">
      <c r="A15" s="1"/>
      <c r="B15" s="4" t="s">
        <v>31</v>
      </c>
      <c r="C15" s="5">
        <v>0.35</v>
      </c>
      <c r="D15" s="17">
        <v>11.68</v>
      </c>
      <c r="E15" s="3">
        <v>0</v>
      </c>
      <c r="F15" s="3">
        <v>0.69</v>
      </c>
      <c r="G15" s="3">
        <v>0</v>
      </c>
      <c r="H15" s="5">
        <v>2.09</v>
      </c>
      <c r="K15" s="4" t="s">
        <v>31</v>
      </c>
      <c r="L15" s="5">
        <v>2.7488935718910689E-3</v>
      </c>
      <c r="M15" s="14">
        <f t="shared" si="10"/>
        <v>0.58312531203195206</v>
      </c>
      <c r="N15" s="15">
        <f t="shared" ref="N15:N16" si="15">E15/31.34</f>
        <v>0</v>
      </c>
      <c r="O15" s="15">
        <f t="shared" si="12"/>
        <v>44.540579710144932</v>
      </c>
      <c r="P15" s="15">
        <f t="shared" si="14"/>
        <v>0</v>
      </c>
      <c r="Q15" s="16">
        <f t="shared" si="13"/>
        <v>1.2901234567901232</v>
      </c>
      <c r="AF15" s="28" t="s">
        <v>53</v>
      </c>
      <c r="AG15" s="24">
        <v>0.3</v>
      </c>
      <c r="AH15" s="29">
        <v>0.3</v>
      </c>
    </row>
    <row r="16" spans="1:39" ht="15.75" thickBot="1">
      <c r="A16" s="1"/>
      <c r="B16" s="6" t="s">
        <v>36</v>
      </c>
      <c r="C16" s="7">
        <v>0.5</v>
      </c>
      <c r="D16" s="18">
        <v>8.32</v>
      </c>
      <c r="E16" s="19">
        <v>0</v>
      </c>
      <c r="F16" s="19">
        <v>0</v>
      </c>
      <c r="G16" s="19">
        <v>0</v>
      </c>
      <c r="H16" s="7">
        <v>2.2000000000000002</v>
      </c>
      <c r="K16" s="6" t="s">
        <v>36</v>
      </c>
      <c r="L16" s="7">
        <v>3.9269908169872417E-3</v>
      </c>
      <c r="M16" s="14">
        <f t="shared" si="10"/>
        <v>0.41537693459810282</v>
      </c>
      <c r="N16" s="15">
        <f t="shared" si="15"/>
        <v>0</v>
      </c>
      <c r="O16" s="15" t="e">
        <f t="shared" si="12"/>
        <v>#DIV/0!</v>
      </c>
      <c r="P16" s="15">
        <f t="shared" si="14"/>
        <v>0</v>
      </c>
      <c r="Q16" s="16">
        <f t="shared" si="13"/>
        <v>1.3580246913580247</v>
      </c>
      <c r="AA16" s="49" t="s">
        <v>12</v>
      </c>
      <c r="AB16" s="49"/>
      <c r="AF16" s="28" t="s">
        <v>54</v>
      </c>
      <c r="AG16" s="24" t="s">
        <v>51</v>
      </c>
      <c r="AH16" s="29" t="s">
        <v>50</v>
      </c>
    </row>
    <row r="17" spans="1:64" ht="15.75" thickBot="1">
      <c r="A17" s="1"/>
      <c r="B17" s="1"/>
      <c r="C17" s="1"/>
      <c r="D17" s="2" t="s">
        <v>55</v>
      </c>
      <c r="E17" s="2"/>
      <c r="F17" s="2"/>
      <c r="G17" s="2"/>
      <c r="H17" s="2"/>
      <c r="AA17" t="s">
        <v>7</v>
      </c>
      <c r="AB17" t="s">
        <v>4</v>
      </c>
      <c r="AF17" s="30" t="s">
        <v>56</v>
      </c>
      <c r="AG17" s="31" t="s">
        <v>50</v>
      </c>
      <c r="AH17" s="32" t="s">
        <v>51</v>
      </c>
    </row>
    <row r="18" spans="1:64" ht="15.75" thickBot="1">
      <c r="A18" s="1"/>
      <c r="B18" s="1"/>
      <c r="C18" s="1"/>
      <c r="D18" s="46" t="s">
        <v>2</v>
      </c>
      <c r="E18" s="47"/>
      <c r="F18" s="47"/>
      <c r="G18" s="47"/>
      <c r="H18" s="48"/>
      <c r="K18" s="10">
        <v>39062</v>
      </c>
      <c r="L18" s="20" t="s">
        <v>8</v>
      </c>
      <c r="M18" s="11" t="s">
        <v>9</v>
      </c>
      <c r="N18" s="12" t="s">
        <v>10</v>
      </c>
      <c r="O18" s="12" t="s">
        <v>11</v>
      </c>
      <c r="P18" s="12" t="s">
        <v>12</v>
      </c>
      <c r="Q18" s="13" t="s">
        <v>13</v>
      </c>
      <c r="AA18">
        <v>0</v>
      </c>
      <c r="AB18">
        <v>0</v>
      </c>
      <c r="AF18" s="33" t="s">
        <v>57</v>
      </c>
      <c r="AG18" s="34">
        <v>90.51</v>
      </c>
      <c r="AH18" s="35">
        <v>83.54</v>
      </c>
    </row>
    <row r="19" spans="1:64" ht="15.75" thickBot="1">
      <c r="A19" s="1"/>
      <c r="B19" s="10">
        <v>39062</v>
      </c>
      <c r="C19" s="20" t="s">
        <v>8</v>
      </c>
      <c r="D19" s="11" t="s">
        <v>9</v>
      </c>
      <c r="E19" s="12" t="s">
        <v>10</v>
      </c>
      <c r="F19" s="12" t="s">
        <v>11</v>
      </c>
      <c r="G19" s="12" t="s">
        <v>12</v>
      </c>
      <c r="H19" s="13" t="s">
        <v>13</v>
      </c>
      <c r="K19" s="8" t="s">
        <v>16</v>
      </c>
      <c r="L19" s="9">
        <v>0</v>
      </c>
      <c r="M19" s="14">
        <f>D20/21</f>
        <v>1</v>
      </c>
      <c r="N19" s="15">
        <f>18/E20</f>
        <v>1</v>
      </c>
      <c r="O19" s="15">
        <f>F20/16.36</f>
        <v>1</v>
      </c>
      <c r="P19" s="15">
        <f>4.2/G20</f>
        <v>1</v>
      </c>
      <c r="Q19" s="16">
        <v>0</v>
      </c>
      <c r="AA19">
        <f>LN(P5)</f>
        <v>0.49112055268665833</v>
      </c>
      <c r="AB19">
        <v>0.2945243112740431</v>
      </c>
      <c r="AF19" s="1" t="s">
        <v>58</v>
      </c>
      <c r="AG19" s="1"/>
      <c r="AH19" s="1"/>
    </row>
    <row r="20" spans="1:64" ht="15.75" thickBot="1">
      <c r="A20" s="1"/>
      <c r="B20" s="8" t="s">
        <v>16</v>
      </c>
      <c r="C20" s="9">
        <v>0</v>
      </c>
      <c r="D20" s="14">
        <v>21</v>
      </c>
      <c r="E20" s="15">
        <v>18</v>
      </c>
      <c r="F20" s="15">
        <v>16.36</v>
      </c>
      <c r="G20" s="15">
        <v>4.2</v>
      </c>
      <c r="H20" s="16">
        <v>0</v>
      </c>
      <c r="K20" s="4" t="s">
        <v>21</v>
      </c>
      <c r="L20" s="5">
        <v>0.15</v>
      </c>
      <c r="M20" s="14">
        <f t="shared" ref="M20:M23" si="16">D21/21</f>
        <v>0.84238095238095245</v>
      </c>
      <c r="N20" s="15">
        <f t="shared" ref="N20:N21" si="17">18/E21</f>
        <v>3.0201342281879193</v>
      </c>
      <c r="O20" s="3">
        <v>7.39</v>
      </c>
      <c r="P20" s="15">
        <f>4.2/G21</f>
        <v>4.2</v>
      </c>
      <c r="Q20" s="5">
        <v>1.73</v>
      </c>
      <c r="U20">
        <f>T5/(18-E21)</f>
        <v>2.4462152099173018E-2</v>
      </c>
      <c r="AA20">
        <v>0</v>
      </c>
      <c r="AB20">
        <v>0</v>
      </c>
      <c r="AF20" s="1" t="s">
        <v>59</v>
      </c>
      <c r="AG20" s="1"/>
      <c r="AH20" s="1"/>
    </row>
    <row r="21" spans="1:64" ht="15.75" thickBot="1">
      <c r="A21" s="1"/>
      <c r="B21" s="4" t="s">
        <v>21</v>
      </c>
      <c r="C21" s="5">
        <v>0.15</v>
      </c>
      <c r="D21" s="17">
        <v>17.690000000000001</v>
      </c>
      <c r="E21" s="3">
        <v>5.96</v>
      </c>
      <c r="F21" s="3">
        <v>7.39</v>
      </c>
      <c r="G21" s="3">
        <v>1</v>
      </c>
      <c r="H21" s="5">
        <v>1.73</v>
      </c>
      <c r="K21" s="4" t="s">
        <v>26</v>
      </c>
      <c r="L21" s="5">
        <v>0.25</v>
      </c>
      <c r="M21" s="14">
        <f t="shared" si="16"/>
        <v>0.68285714285714283</v>
      </c>
      <c r="N21" s="15">
        <f t="shared" si="17"/>
        <v>47.368421052631575</v>
      </c>
      <c r="O21" s="3">
        <v>1.7</v>
      </c>
      <c r="P21" s="3">
        <v>0</v>
      </c>
      <c r="Q21" s="5">
        <v>2</v>
      </c>
      <c r="U21">
        <f>T6/(18-E22)</f>
        <v>2.7858901936629127E-2</v>
      </c>
      <c r="AA21">
        <f>LN(P13)</f>
        <v>0.21725960815523518</v>
      </c>
      <c r="AB21">
        <v>0.2945243112740431</v>
      </c>
      <c r="AF21" s="1" t="s">
        <v>60</v>
      </c>
      <c r="AG21" s="1"/>
      <c r="AH21" s="1"/>
    </row>
    <row r="22" spans="1:64" ht="15.75" thickBot="1">
      <c r="A22" s="1"/>
      <c r="B22" s="4" t="s">
        <v>26</v>
      </c>
      <c r="C22" s="5">
        <v>0.25</v>
      </c>
      <c r="D22" s="17">
        <v>14.34</v>
      </c>
      <c r="E22" s="3">
        <v>0.38</v>
      </c>
      <c r="F22" s="3">
        <v>1.7</v>
      </c>
      <c r="G22" s="3">
        <v>0</v>
      </c>
      <c r="H22" s="5">
        <v>2</v>
      </c>
      <c r="K22" s="4" t="s">
        <v>31</v>
      </c>
      <c r="L22" s="5">
        <v>0.35</v>
      </c>
      <c r="M22" s="14">
        <f t="shared" si="16"/>
        <v>0.55000000000000004</v>
      </c>
      <c r="N22" s="15">
        <f t="shared" ref="N22:N23" si="18">E23/18</f>
        <v>0</v>
      </c>
      <c r="O22" s="3">
        <v>0</v>
      </c>
      <c r="P22" s="3">
        <v>0</v>
      </c>
      <c r="Q22" s="5">
        <v>2</v>
      </c>
      <c r="AA22">
        <v>0</v>
      </c>
      <c r="AB22">
        <v>0</v>
      </c>
      <c r="AF22" s="1"/>
      <c r="AG22" s="1"/>
      <c r="AH22" s="1"/>
      <c r="BL22">
        <v>0</v>
      </c>
    </row>
    <row r="23" spans="1:64" ht="15.75" thickBot="1">
      <c r="A23" s="1"/>
      <c r="B23" s="4" t="s">
        <v>31</v>
      </c>
      <c r="C23" s="5">
        <v>0.35</v>
      </c>
      <c r="D23" s="17">
        <v>11.55</v>
      </c>
      <c r="E23" s="3">
        <v>0</v>
      </c>
      <c r="F23" s="3">
        <v>0</v>
      </c>
      <c r="G23" s="3">
        <v>0</v>
      </c>
      <c r="H23" s="5">
        <v>2</v>
      </c>
      <c r="K23" s="6" t="s">
        <v>36</v>
      </c>
      <c r="L23" s="7">
        <v>0.5</v>
      </c>
      <c r="M23" s="14">
        <f t="shared" si="16"/>
        <v>0.41761904761904761</v>
      </c>
      <c r="N23" s="15">
        <f t="shared" si="18"/>
        <v>0</v>
      </c>
      <c r="O23" s="19">
        <v>0</v>
      </c>
      <c r="P23" s="19">
        <v>0</v>
      </c>
      <c r="Q23" s="7">
        <v>2.16</v>
      </c>
      <c r="AA23">
        <f>LN(P20)</f>
        <v>1.4350845252893227</v>
      </c>
      <c r="AB23">
        <v>0.2945243112740431</v>
      </c>
    </row>
    <row r="24" spans="1:64" ht="15.75" thickBot="1">
      <c r="A24" s="1"/>
      <c r="B24" s="6" t="s">
        <v>36</v>
      </c>
      <c r="C24" s="7">
        <v>0.5</v>
      </c>
      <c r="D24" s="18">
        <v>8.77</v>
      </c>
      <c r="E24" s="19">
        <v>0</v>
      </c>
      <c r="F24" s="19">
        <v>0</v>
      </c>
      <c r="G24" s="19">
        <v>0</v>
      </c>
      <c r="H24" s="7">
        <v>2.16</v>
      </c>
    </row>
    <row r="25" spans="1:64">
      <c r="BL25">
        <v>9</v>
      </c>
    </row>
    <row r="26" spans="1:64">
      <c r="B26" s="43" t="s">
        <v>61</v>
      </c>
      <c r="E26" s="49" t="s">
        <v>62</v>
      </c>
      <c r="F26" s="49"/>
      <c r="G26" s="49"/>
    </row>
    <row r="27" spans="1:64">
      <c r="B27" s="43" t="s">
        <v>63</v>
      </c>
    </row>
    <row r="28" spans="1:64">
      <c r="B28">
        <f>PI()*(0.05)^2</f>
        <v>7.8539816339744835E-3</v>
      </c>
    </row>
    <row r="45" spans="4:12">
      <c r="D45" t="s">
        <v>10</v>
      </c>
      <c r="E45" t="s">
        <v>64</v>
      </c>
      <c r="F45" t="s">
        <v>4</v>
      </c>
      <c r="H45" t="s">
        <v>65</v>
      </c>
      <c r="I45" t="s">
        <v>66</v>
      </c>
    </row>
    <row r="46" spans="4:12">
      <c r="E46">
        <v>39.64</v>
      </c>
      <c r="F46">
        <f>L4/0.004</f>
        <v>0</v>
      </c>
    </row>
    <row r="47" spans="4:12">
      <c r="E47">
        <v>14.55</v>
      </c>
      <c r="F47">
        <f t="shared" ref="F47:F50" si="19">L5/0.004</f>
        <v>0.2945243112740431</v>
      </c>
      <c r="H47">
        <f t="shared" ref="H47:H48" si="20">LN(N5)/(39.64-E5)</f>
        <v>3.9946102664180382E-2</v>
      </c>
      <c r="I47">
        <f>F47/(39.64-E5)</f>
        <v>1.1738713083859828E-2</v>
      </c>
    </row>
    <row r="48" spans="4:12">
      <c r="E48">
        <v>3.87</v>
      </c>
      <c r="F48">
        <f t="shared" si="19"/>
        <v>0.49087385212340523</v>
      </c>
      <c r="H48">
        <f t="shared" si="20"/>
        <v>6.5042890758179941E-2</v>
      </c>
      <c r="I48">
        <f>F48/(39.64-E6)</f>
        <v>1.3723059886033133E-2</v>
      </c>
      <c r="K48">
        <v>3.9946102664180382E-2</v>
      </c>
      <c r="L48">
        <v>1.1738713083859828E-2</v>
      </c>
    </row>
    <row r="49" spans="4:12">
      <c r="E49">
        <v>0</v>
      </c>
      <c r="F49">
        <f t="shared" si="19"/>
        <v>0.68722339297276724</v>
      </c>
      <c r="H49" t="e">
        <f>LN(N12)/(31.34-E12)</f>
        <v>#DIV/0!</v>
      </c>
      <c r="I49" t="e">
        <f>F46/(31.34-E12)</f>
        <v>#DIV/0!</v>
      </c>
      <c r="K49">
        <v>6.5042890758179941E-2</v>
      </c>
      <c r="L49">
        <v>1.3723059886033133E-2</v>
      </c>
    </row>
    <row r="50" spans="4:12">
      <c r="E50">
        <v>0</v>
      </c>
      <c r="F50">
        <f t="shared" si="19"/>
        <v>0.98174770424681046</v>
      </c>
      <c r="H50">
        <f t="shared" ref="H50:H51" si="21">LN(N13)/(31.34-E13)</f>
        <v>4.9378117099599654E-2</v>
      </c>
      <c r="I50">
        <f t="shared" ref="I50:I51" si="22">F47/(31.34-E13)</f>
        <v>1.534780152548427E-2</v>
      </c>
      <c r="K50">
        <v>4.9378117099599654E-2</v>
      </c>
      <c r="L50">
        <v>1.534780152548427E-2</v>
      </c>
    </row>
    <row r="51" spans="4:12">
      <c r="E51">
        <v>31.34</v>
      </c>
      <c r="F51">
        <v>0</v>
      </c>
      <c r="H51">
        <f t="shared" si="21"/>
        <v>8.1500276129490359E-2</v>
      </c>
      <c r="I51">
        <f t="shared" si="22"/>
        <v>1.7413049028854388E-2</v>
      </c>
      <c r="K51">
        <v>8.1500276129490359E-2</v>
      </c>
      <c r="L51">
        <v>1.7413049028854388E-2</v>
      </c>
    </row>
    <row r="52" spans="4:12">
      <c r="E52">
        <v>12.15</v>
      </c>
      <c r="F52">
        <v>0.2945243112740431</v>
      </c>
      <c r="H52" t="e">
        <f>LN(N19)/(18-E20)</f>
        <v>#DIV/0!</v>
      </c>
      <c r="I52" t="e">
        <f>F46/(18-E20)</f>
        <v>#DIV/0!</v>
      </c>
      <c r="K52">
        <v>9.180243162947728E-2</v>
      </c>
      <c r="L52">
        <v>2.4462152099173018E-2</v>
      </c>
    </row>
    <row r="53" spans="4:12">
      <c r="E53">
        <v>3.15</v>
      </c>
      <c r="F53">
        <v>0.49087385212340523</v>
      </c>
      <c r="H53">
        <f t="shared" ref="H53:H54" si="23">LN(N20)/(18-E21)</f>
        <v>9.180243162947728E-2</v>
      </c>
      <c r="I53">
        <f t="shared" ref="I53:I54" si="24">F47/(18-E21)</f>
        <v>2.4462152099173018E-2</v>
      </c>
      <c r="K53">
        <v>0.2189532227104353</v>
      </c>
      <c r="L53">
        <v>2.7858901936629127E-2</v>
      </c>
    </row>
    <row r="54" spans="4:12">
      <c r="E54">
        <v>0</v>
      </c>
      <c r="F54">
        <v>0.68722339297276724</v>
      </c>
      <c r="H54">
        <f t="shared" si="23"/>
        <v>0.2189532227104353</v>
      </c>
      <c r="I54">
        <f t="shared" si="24"/>
        <v>2.7858901936629127E-2</v>
      </c>
    </row>
    <row r="55" spans="4:12">
      <c r="E55">
        <v>0</v>
      </c>
      <c r="F55">
        <v>0.98174770424681046</v>
      </c>
    </row>
    <row r="56" spans="4:12">
      <c r="E56">
        <v>18</v>
      </c>
      <c r="F56">
        <v>0</v>
      </c>
    </row>
    <row r="57" spans="4:12">
      <c r="E57">
        <v>5.96</v>
      </c>
      <c r="F57">
        <v>0.2945243112740431</v>
      </c>
    </row>
    <row r="58" spans="4:12">
      <c r="E58">
        <v>0.38</v>
      </c>
      <c r="F58">
        <v>0.49087385212340523</v>
      </c>
    </row>
    <row r="59" spans="4:12">
      <c r="E59">
        <v>0</v>
      </c>
      <c r="F59">
        <v>0.68722339297276724</v>
      </c>
    </row>
    <row r="60" spans="4:12">
      <c r="E60">
        <v>0</v>
      </c>
      <c r="F60">
        <v>0.98174770424681046</v>
      </c>
    </row>
    <row r="62" spans="4:12">
      <c r="D62" t="s">
        <v>11</v>
      </c>
      <c r="E62">
        <v>39.6</v>
      </c>
      <c r="F62">
        <v>0</v>
      </c>
      <c r="H62" t="s">
        <v>67</v>
      </c>
    </row>
    <row r="63" spans="4:12">
      <c r="E63">
        <v>15.81</v>
      </c>
      <c r="F63">
        <v>0.2945243112740431</v>
      </c>
      <c r="H63">
        <f>(1/E4)-(1/39.64)</f>
        <v>0</v>
      </c>
      <c r="I63">
        <v>0</v>
      </c>
      <c r="J63">
        <v>0</v>
      </c>
    </row>
    <row r="64" spans="4:12">
      <c r="E64">
        <v>5.14</v>
      </c>
      <c r="F64">
        <v>0.49087385212340523</v>
      </c>
      <c r="H64">
        <f t="shared" ref="H64:H67" si="25">(1/E5)-(1/39.64)</f>
        <v>4.3501478946255119E-2</v>
      </c>
      <c r="I64">
        <v>4.3501478946255119E-2</v>
      </c>
      <c r="J64">
        <v>0.2945243112740431</v>
      </c>
    </row>
    <row r="65" spans="4:10">
      <c r="E65">
        <v>1.04</v>
      </c>
      <c r="F65">
        <v>0.68722339297276724</v>
      </c>
      <c r="H65">
        <f t="shared" si="25"/>
        <v>0.23317088942602282</v>
      </c>
      <c r="I65">
        <v>0.23317088942602282</v>
      </c>
      <c r="J65">
        <v>0.49087385212340523</v>
      </c>
    </row>
    <row r="66" spans="4:10">
      <c r="E66">
        <v>0</v>
      </c>
      <c r="F66">
        <v>0.98174770424681046</v>
      </c>
      <c r="H66" t="e">
        <f t="shared" si="25"/>
        <v>#DIV/0!</v>
      </c>
      <c r="I66">
        <v>0</v>
      </c>
      <c r="J66">
        <v>0</v>
      </c>
    </row>
    <row r="67" spans="4:10">
      <c r="E67">
        <v>30.733000000000001</v>
      </c>
      <c r="F67">
        <v>0</v>
      </c>
      <c r="H67" t="e">
        <f t="shared" si="25"/>
        <v>#DIV/0!</v>
      </c>
      <c r="I67">
        <v>5.0396422090387916E-2</v>
      </c>
      <c r="J67">
        <v>0.2945243112740431</v>
      </c>
    </row>
    <row r="68" spans="4:10">
      <c r="E68">
        <v>12.8</v>
      </c>
      <c r="F68">
        <v>0.2945243112740431</v>
      </c>
      <c r="H68">
        <f>(1/E12)-(1/31.34)</f>
        <v>0</v>
      </c>
      <c r="I68">
        <v>0.28555221280173415</v>
      </c>
      <c r="J68">
        <v>0.49087385212340523</v>
      </c>
    </row>
    <row r="69" spans="4:10">
      <c r="E69">
        <v>4.53</v>
      </c>
      <c r="F69">
        <v>0.49087385212340523</v>
      </c>
      <c r="H69">
        <f t="shared" ref="H69:H71" si="26">(1/E13)-(1/31.34)</f>
        <v>5.0396422090387916E-2</v>
      </c>
      <c r="I69">
        <v>0</v>
      </c>
      <c r="J69">
        <v>0</v>
      </c>
    </row>
    <row r="70" spans="4:10">
      <c r="E70">
        <v>0.69</v>
      </c>
      <c r="F70">
        <v>0.68722339297276724</v>
      </c>
      <c r="H70">
        <f t="shared" si="26"/>
        <v>0.28555221280173415</v>
      </c>
      <c r="I70">
        <v>0.11222967934377331</v>
      </c>
      <c r="J70">
        <v>0.2945243112740431</v>
      </c>
    </row>
    <row r="71" spans="4:10">
      <c r="E71">
        <v>0</v>
      </c>
      <c r="F71">
        <v>0.98174770424681046</v>
      </c>
      <c r="H71" t="e">
        <f t="shared" si="26"/>
        <v>#DIV/0!</v>
      </c>
      <c r="I71">
        <v>2.5760233918128659</v>
      </c>
      <c r="J71">
        <v>0.49087385212340523</v>
      </c>
    </row>
    <row r="72" spans="4:10">
      <c r="E72">
        <v>16.36</v>
      </c>
      <c r="F72">
        <v>0</v>
      </c>
      <c r="H72">
        <f>(1/E20)-(1/18)</f>
        <v>0</v>
      </c>
    </row>
    <row r="73" spans="4:10">
      <c r="E73">
        <v>7.39</v>
      </c>
      <c r="F73">
        <v>0.2945243112740431</v>
      </c>
      <c r="H73">
        <f t="shared" ref="H73:H76" si="27">(1/E21)-(1/18)</f>
        <v>0.11222967934377331</v>
      </c>
    </row>
    <row r="74" spans="4:10">
      <c r="E74">
        <v>1.7</v>
      </c>
      <c r="F74">
        <v>0.49087385212340523</v>
      </c>
      <c r="H74">
        <f t="shared" si="27"/>
        <v>2.5760233918128659</v>
      </c>
    </row>
    <row r="75" spans="4:10">
      <c r="E75">
        <v>0</v>
      </c>
      <c r="F75">
        <v>0.68722339297276724</v>
      </c>
      <c r="H75" t="e">
        <f t="shared" si="27"/>
        <v>#DIV/0!</v>
      </c>
    </row>
    <row r="76" spans="4:10">
      <c r="E76">
        <v>0</v>
      </c>
      <c r="F76">
        <v>0.98174770424681046</v>
      </c>
      <c r="H76" t="e">
        <f t="shared" si="27"/>
        <v>#DIV/0!</v>
      </c>
    </row>
    <row r="78" spans="4:10">
      <c r="D78" t="s">
        <v>12</v>
      </c>
      <c r="E78">
        <v>6.7</v>
      </c>
      <c r="F78">
        <v>0</v>
      </c>
    </row>
    <row r="79" spans="4:10">
      <c r="E79">
        <v>4.0999999999999996</v>
      </c>
      <c r="F79">
        <v>0.2945243112740431</v>
      </c>
    </row>
    <row r="80" spans="4:10">
      <c r="E80">
        <v>0</v>
      </c>
      <c r="F80">
        <v>0.49087385212340523</v>
      </c>
    </row>
    <row r="81" spans="5:6">
      <c r="E81">
        <v>0</v>
      </c>
      <c r="F81">
        <v>0.68722339297276724</v>
      </c>
    </row>
    <row r="82" spans="5:6">
      <c r="E82">
        <v>0</v>
      </c>
      <c r="F82">
        <v>0.98174770424681046</v>
      </c>
    </row>
    <row r="83" spans="5:6">
      <c r="E83">
        <v>4.66</v>
      </c>
      <c r="F83">
        <v>0</v>
      </c>
    </row>
    <row r="84" spans="5:6">
      <c r="E84">
        <v>3.75</v>
      </c>
      <c r="F84">
        <v>0.2945243112740431</v>
      </c>
    </row>
    <row r="85" spans="5:6">
      <c r="E85">
        <v>0</v>
      </c>
      <c r="F85">
        <v>0.49087385212340523</v>
      </c>
    </row>
    <row r="86" spans="5:6">
      <c r="E86">
        <v>0</v>
      </c>
      <c r="F86">
        <v>0.68722339297276724</v>
      </c>
    </row>
    <row r="87" spans="5:6">
      <c r="E87">
        <v>0</v>
      </c>
      <c r="F87">
        <v>0.98174770424681046</v>
      </c>
    </row>
    <row r="88" spans="5:6">
      <c r="E88">
        <v>4.2</v>
      </c>
      <c r="F88">
        <v>0</v>
      </c>
    </row>
    <row r="89" spans="5:6">
      <c r="E89">
        <v>1</v>
      </c>
      <c r="F89">
        <v>0.2945243112740431</v>
      </c>
    </row>
    <row r="90" spans="5:6">
      <c r="E90">
        <v>0</v>
      </c>
      <c r="F90">
        <v>0.49087385212340523</v>
      </c>
    </row>
    <row r="91" spans="5:6">
      <c r="E91">
        <v>0</v>
      </c>
      <c r="F91">
        <v>0.68722339297276724</v>
      </c>
    </row>
    <row r="92" spans="5:6">
      <c r="E92">
        <v>0</v>
      </c>
      <c r="F92">
        <v>0.98174770424681046</v>
      </c>
    </row>
  </sheetData>
  <mergeCells count="9">
    <mergeCell ref="D18:H18"/>
    <mergeCell ref="AG3:AH3"/>
    <mergeCell ref="E26:G26"/>
    <mergeCell ref="M2:Q2"/>
    <mergeCell ref="X1:Y1"/>
    <mergeCell ref="AA1:AB1"/>
    <mergeCell ref="AA16:AB16"/>
    <mergeCell ref="D2:H2"/>
    <mergeCell ref="D10:H10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Liam Michael Kozma</dc:creator>
  <cp:keywords/>
  <dc:description/>
  <cp:lastModifiedBy/>
  <cp:revision/>
  <dcterms:created xsi:type="dcterms:W3CDTF">2022-05-07T18:22:30Z</dcterms:created>
  <dcterms:modified xsi:type="dcterms:W3CDTF">2026-06-15T03:53:06Z</dcterms:modified>
  <cp:category/>
  <cp:contentStatus/>
</cp:coreProperties>
</file>